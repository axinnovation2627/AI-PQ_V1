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력평가" sheetId="1" state="visible" r:id="rId1"/>
  </sheets>
  <definedNames>
    <definedName name="_xlnm.Print_Titles" localSheetId="0">'경력평가'!$8:$9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&quot;일&quot;"/>
    <numFmt numFmtId="165" formatCode="0.0%"/>
    <numFmt numFmtId="166" formatCode="#,##0.0&quot;일&quot;"/>
    <numFmt numFmtId="167" formatCode="0.00&quot;년&quot;"/>
    <numFmt numFmtId="168" formatCode="0.00&quot;점&quot;"/>
    <numFmt numFmtId="169" formatCode="yyyy-mm-dd h:mm:ss"/>
    <numFmt numFmtId="170" formatCode="yy/mm/dd"/>
    <numFmt numFmtId="171" formatCode="#,##0.0"/>
  </numFmts>
  <fonts count="9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sz val="10"/>
    </font>
    <font>
      <name val="맑은 고딕"/>
      <sz val="10"/>
    </font>
    <font>
      <name val="맑은 고딕"/>
      <sz val="9"/>
    </font>
    <font>
      <name val="맑은 고딕"/>
      <b val="1"/>
      <sz val="12"/>
    </font>
    <font>
      <name val="맑은 고딕"/>
      <b val="1"/>
      <sz val="11"/>
    </font>
    <font>
      <name val="맑은 고딕"/>
      <b val="1"/>
      <color rgb="00C00000"/>
      <sz val="9"/>
    </font>
    <font>
      <name val="맑은 고딕"/>
      <color rgb="00000000"/>
      <sz val="9"/>
    </font>
  </fonts>
  <fills count="8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/>
      <bottom/>
      <diagonal/>
    </border>
    <border>
      <left style="thin">
        <color rgb="00808080"/>
      </left>
      <right/>
      <top/>
      <bottom style="thin">
        <color rgb="00808080"/>
      </bottom>
      <diagonal/>
    </border>
    <border>
      <left/>
      <right/>
      <top/>
      <bottom style="thin">
        <color rgb="00808080"/>
      </bottom>
      <diagonal/>
    </border>
    <border>
      <left/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3" borderId="1" applyAlignment="1" pivotButton="0" quotePrefix="0" xfId="0">
      <alignment horizontal="left" vertical="center" wrapText="1"/>
    </xf>
    <xf numFmtId="168" fontId="2" fillId="0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167" fontId="2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8" fontId="5" fillId="3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7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171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170" fontId="3" fillId="5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9" fontId="3" fillId="5" borderId="1" applyAlignment="1" pivotButton="0" quotePrefix="0" xfId="0">
      <alignment horizontal="center" vertical="center" wrapText="1"/>
    </xf>
    <xf numFmtId="171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170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9" fontId="3" fillId="7" borderId="1" applyAlignment="1" pivotButton="0" quotePrefix="0" xfId="0">
      <alignment horizontal="center" vertical="center" wrapText="1"/>
    </xf>
    <xf numFmtId="171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71" fontId="2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10" customWidth="1" min="4" max="4"/>
    <col width="10" customWidth="1" min="5" max="5"/>
    <col width="7" customWidth="1" min="6" max="6"/>
    <col width="20" customWidth="1" min="7" max="7"/>
    <col width="11" customWidth="1" min="8" max="8"/>
    <col width="7" customWidth="1" min="9" max="9"/>
    <col width="13" customWidth="1" min="10" max="10"/>
    <col width="18" customWidth="1" min="11" max="11"/>
    <col width="10" customWidth="1" min="12" max="12"/>
    <col width="8" customWidth="1" min="13" max="13"/>
    <col width="9" customWidth="1" min="14" max="14"/>
    <col width="56" customWidth="1" min="15" max="15"/>
    <col width="3" customWidth="1" min="16" max="16"/>
    <col width="11" customWidth="1" min="17" max="17"/>
    <col width="9" customWidth="1" min="18" max="18"/>
    <col width="10" customWidth="1" min="19" max="19"/>
    <col width="40" customWidth="1" min="20" max="20"/>
  </cols>
  <sheetData>
    <row r="1">
      <c r="A1" s="1" t="inlineStr">
        <is>
          <t>나. 참여기술인 경력 — AI 평가시트</t>
        </is>
      </c>
    </row>
    <row r="2" ht="26" customHeight="1">
      <c r="A2" s="2" t="inlineStr">
        <is>
          <t>일반
사항</t>
        </is>
      </c>
      <c r="B2" s="3" t="inlineStr">
        <is>
          <t>참여형태</t>
        </is>
      </c>
      <c r="C2" s="4" t="inlineStr">
        <is>
          <t>분야책임</t>
        </is>
      </c>
      <c r="D2" s="5" t="n"/>
      <c r="E2" s="3" t="inlineStr">
        <is>
          <t>성 명</t>
        </is>
      </c>
      <c r="F2" s="4" t="inlineStr">
        <is>
          <t>가상기술인</t>
        </is>
      </c>
      <c r="G2" s="5" t="n"/>
      <c r="H2" s="3" t="inlineStr">
        <is>
          <t>소 속</t>
        </is>
      </c>
      <c r="I2" s="4" t="inlineStr">
        <is>
          <t>(주)가나엔지니어링(가상)</t>
        </is>
      </c>
      <c r="J2" s="5" t="n"/>
      <c r="K2" s="3" t="inlineStr">
        <is>
          <t>등 급</t>
        </is>
      </c>
      <c r="L2" s="4" t="inlineStr">
        <is>
          <t>토목 특급</t>
        </is>
      </c>
      <c r="M2" s="6" t="n"/>
      <c r="N2" s="6" t="n"/>
      <c r="O2" s="5" t="n"/>
      <c r="Q2" s="3" t="inlineStr">
        <is>
          <t>사업책임</t>
        </is>
      </c>
      <c r="R2" s="3" t="inlineStr">
        <is>
          <t>분야책임</t>
        </is>
      </c>
      <c r="S2" s="3" t="inlineStr">
        <is>
          <t>분야참여</t>
        </is>
      </c>
      <c r="T2" s="7" t="inlineStr">
        <is>
          <t>평가위원 점수 (환산년수 기준 자동 계산)</t>
        </is>
      </c>
    </row>
    <row r="3" ht="26" customHeight="1">
      <c r="A3" s="8" t="n"/>
      <c r="B3" s="3" t="inlineStr">
        <is>
          <t>현 근무처</t>
        </is>
      </c>
      <c r="C3" s="7" t="inlineStr">
        <is>
          <t>2009.03.02 ~ 근무중 (주)가나엔지니어링(가상)</t>
        </is>
      </c>
      <c r="D3" s="6" t="n"/>
      <c r="E3" s="6" t="n"/>
      <c r="F3" s="6" t="n"/>
      <c r="G3" s="6" t="n"/>
      <c r="H3" s="6" t="n"/>
      <c r="I3" s="6" t="n"/>
      <c r="J3" s="5" t="n"/>
      <c r="K3" s="3" t="inlineStr">
        <is>
          <t>판독</t>
        </is>
      </c>
      <c r="L3" s="9" t="inlineStr">
        <is>
          <t>정상(합계 대조 일치)</t>
        </is>
      </c>
      <c r="M3" s="6" t="n"/>
      <c r="N3" s="6" t="n"/>
      <c r="O3" s="5" t="n"/>
      <c r="Q3" s="10">
        <f>IF(R7="","",IF(R7&gt;=6,8,IF(R7&gt;=5,7.2,IF(R7&gt;=4,6.4,IF(R7&gt;=3,5.6,4.8)))))</f>
        <v/>
      </c>
      <c r="R3" s="10">
        <f>IF(R7="","",IF(R7&gt;=5,3,IF(R7&gt;=4,2.7,IF(R7&gt;=3,2.4,IF(R7&gt;=2,2.1,1.8)))))</f>
        <v/>
      </c>
      <c r="S3" s="10">
        <f>IF(R7="","",IF(R7&gt;=3,1.5,IF(R7&gt;=2,1.35,IF(R7&gt;=1,1.2,IF(R7&gt;=0.5,1.05,0.9)))))</f>
        <v/>
      </c>
      <c r="T3" s="8" t="n"/>
    </row>
    <row r="4" ht="26" customHeight="1">
      <c r="A4" s="2" t="inlineStr">
        <is>
          <t>경력
요약</t>
        </is>
      </c>
      <c r="B4" s="3" t="inlineStr">
        <is>
          <t>합    계</t>
        </is>
      </c>
      <c r="C4" s="11">
        <f>C5+C6</f>
        <v/>
      </c>
      <c r="D4" s="12">
        <f>IF(C4=0,0,E4/C4)</f>
        <v/>
      </c>
      <c r="E4" s="13">
        <f>E5+E6</f>
        <v/>
      </c>
      <c r="F4" s="5" t="n"/>
      <c r="G4" s="14">
        <f>E4/365</f>
        <v/>
      </c>
      <c r="H4" s="3" t="inlineStr">
        <is>
          <t>사업책임</t>
        </is>
      </c>
      <c r="I4" s="2" t="inlineStr">
        <is>
          <t>분야책임 ◀</t>
        </is>
      </c>
      <c r="J4" s="3" t="inlineStr">
        <is>
          <t>분야참여</t>
        </is>
      </c>
      <c r="K4" s="3" t="inlineStr">
        <is>
          <t>비고</t>
        </is>
      </c>
      <c r="L4" s="6" t="n"/>
      <c r="M4" s="6" t="n"/>
      <c r="N4" s="6" t="n"/>
      <c r="O4" s="5" t="n"/>
      <c r="Q4" s="15" t="inlineStr">
        <is>
          <t>PQ 평가위원 평가
(평가위원:              )</t>
        </is>
      </c>
      <c r="R4" s="16" t="n"/>
      <c r="S4" s="16" t="n"/>
      <c r="T4" s="17" t="n"/>
    </row>
    <row r="5" ht="26" customHeight="1">
      <c r="A5" s="18" t="n"/>
      <c r="B5" s="3" t="inlineStr">
        <is>
          <t>유사용역 경력</t>
        </is>
      </c>
      <c r="C5" s="19">
        <f>F27</f>
        <v/>
      </c>
      <c r="D5" s="20">
        <f>IF(C5=0,0,E5/C5)</f>
        <v/>
      </c>
      <c r="E5" s="21">
        <f>N27</f>
        <v/>
      </c>
      <c r="F5" s="5" t="n"/>
      <c r="G5" s="22">
        <f>E5/365</f>
        <v/>
      </c>
      <c r="H5" s="23">
        <f>IF(G4&gt;=6,8,IF(G4&gt;=5,7.2,IF(G4&gt;=4,6.4,IF(G4&gt;=3,5.6,4.8))))</f>
        <v/>
      </c>
      <c r="I5" s="23">
        <f>IF(G4&gt;=5,3,IF(G4&gt;=4,2.7,IF(G4&gt;=3,2.4,IF(G4&gt;=2,2.1,1.8))))</f>
        <v/>
      </c>
      <c r="J5" s="23">
        <f>IF(G4&gt;=3,1.5,IF(G4&gt;=2,1.35,IF(G4&gt;=1,1.2,IF(G4&gt;=0.5,1.05,0.9))))</f>
        <v/>
      </c>
      <c r="K5" s="7" t="inlineStr">
        <is>
          <t>유사: 진단·성능평가 100%, 점검 50% / 관련: 진단·성능평가 60%, 점검 30%
일→년 환산 365일(원문 기준 없음) / 이적 보정계수 미적용(현 근무처 참고)</t>
        </is>
      </c>
      <c r="L5" s="16" t="n"/>
      <c r="M5" s="16" t="n"/>
      <c r="N5" s="16" t="n"/>
      <c r="O5" s="17" t="n"/>
      <c r="Q5" s="24" t="n"/>
      <c r="R5" s="25" t="n"/>
      <c r="S5" s="25" t="n"/>
      <c r="T5" s="26" t="n"/>
    </row>
    <row r="6" ht="26" customHeight="1">
      <c r="A6" s="8" t="n"/>
      <c r="B6" s="3" t="inlineStr">
        <is>
          <t>관련과업 경력</t>
        </is>
      </c>
      <c r="C6" s="19">
        <f>F28</f>
        <v/>
      </c>
      <c r="D6" s="20">
        <f>IF(C6=0,0,E6/C6)</f>
        <v/>
      </c>
      <c r="E6" s="21">
        <f>N28</f>
        <v/>
      </c>
      <c r="F6" s="5" t="n"/>
      <c r="G6" s="22">
        <f>E6/365</f>
        <v/>
      </c>
      <c r="H6" s="8" t="n"/>
      <c r="I6" s="8" t="n"/>
      <c r="J6" s="8" t="n"/>
      <c r="K6" s="24" t="n"/>
      <c r="L6" s="25" t="n"/>
      <c r="M6" s="25" t="n"/>
      <c r="N6" s="25" t="n"/>
      <c r="O6" s="26" t="n"/>
      <c r="Q6" s="3" t="inlineStr">
        <is>
          <t>환산일수</t>
        </is>
      </c>
      <c r="R6" s="21">
        <f>S29</f>
        <v/>
      </c>
      <c r="S6" s="5" t="n"/>
      <c r="T6" s="7" t="inlineStr">
        <is>
          <t>※ 인정여부·인정율 입력 시 자동 계산
※ AI 판단과 다르면 판단사유 기재</t>
        </is>
      </c>
    </row>
    <row r="7">
      <c r="A7" s="27" t="inlineStr">
        <is>
          <t>경 력 사 항  (AI 판정)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5" t="n"/>
      <c r="Q7" s="3" t="inlineStr">
        <is>
          <t>환산년수</t>
        </is>
      </c>
      <c r="R7" s="22">
        <f>IF(COUNT(S10:S26)=0,"",S29/365)</f>
        <v/>
      </c>
      <c r="S7" s="5" t="n"/>
      <c r="T7" s="8" t="n"/>
    </row>
    <row r="8">
      <c r="A8" s="3" t="inlineStr">
        <is>
          <t>용역유형
(사업명 판정)</t>
        </is>
      </c>
      <c r="B8" s="3" t="inlineStr">
        <is>
          <t>사 업 명</t>
        </is>
      </c>
      <c r="C8" s="3" t="inlineStr">
        <is>
          <t>공사(용역)개요</t>
        </is>
      </c>
      <c r="D8" s="3" t="inlineStr">
        <is>
          <t>참여기간</t>
        </is>
      </c>
      <c r="E8" s="6" t="n"/>
      <c r="F8" s="5" t="n"/>
      <c r="G8" s="3" t="inlineStr">
        <is>
          <t>발주청
(관리주체)</t>
        </is>
      </c>
      <c r="H8" s="3" t="inlineStr">
        <is>
          <t>공사종류</t>
        </is>
      </c>
      <c r="I8" s="3" t="inlineStr">
        <is>
          <t>직무
분야</t>
        </is>
      </c>
      <c r="J8" s="3" t="inlineStr">
        <is>
          <t>전문분야</t>
        </is>
      </c>
      <c r="K8" s="3" t="inlineStr">
        <is>
          <t>담당업무</t>
        </is>
      </c>
      <c r="L8" s="28" t="inlineStr">
        <is>
          <t>AI 인정여부
판단</t>
        </is>
      </c>
      <c r="M8" s="3" t="inlineStr">
        <is>
          <t>인정율</t>
        </is>
      </c>
      <c r="N8" s="3" t="inlineStr">
        <is>
          <t>환산일수</t>
        </is>
      </c>
      <c r="O8" s="28" t="inlineStr">
        <is>
          <t>AI 판단 근거</t>
        </is>
      </c>
      <c r="Q8" s="2" t="inlineStr">
        <is>
          <t>인정여부</t>
        </is>
      </c>
      <c r="R8" s="3" t="inlineStr">
        <is>
          <t>인정율</t>
        </is>
      </c>
      <c r="S8" s="3" t="inlineStr">
        <is>
          <t>환산일수</t>
        </is>
      </c>
      <c r="T8" s="2" t="inlineStr">
        <is>
          <t>평가위원 판단사유</t>
        </is>
      </c>
    </row>
    <row r="9" ht="28" customHeight="1">
      <c r="A9" s="8" t="n"/>
      <c r="B9" s="8" t="n"/>
      <c r="C9" s="8" t="n"/>
      <c r="D9" s="3" t="inlineStr">
        <is>
          <t>시작일</t>
        </is>
      </c>
      <c r="E9" s="3" t="inlineStr">
        <is>
          <t>종료일</t>
        </is>
      </c>
      <c r="F9" s="3" t="inlineStr">
        <is>
          <t>인정일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Q9" s="8" t="n"/>
      <c r="R9" s="8" t="n"/>
      <c r="S9" s="8" t="n"/>
      <c r="T9" s="8" t="n"/>
    </row>
    <row r="10" ht="33" customHeight="1">
      <c r="A10" s="4" t="inlineStr">
        <is>
          <t>정밀안전점검·긴급안전점검</t>
        </is>
      </c>
      <c r="B10" s="29" t="inlineStr">
        <is>
          <t>○○군 절토사면 정밀안전점검</t>
        </is>
      </c>
      <c r="C10" s="7" t="inlineStr"/>
      <c r="D10" s="30" t="n">
        <v>34395</v>
      </c>
      <c r="E10" s="30" t="n">
        <v>34668</v>
      </c>
      <c r="F10" s="31" t="n">
        <v>274</v>
      </c>
      <c r="G10" s="4" t="inlineStr">
        <is>
          <t>○○군청</t>
        </is>
      </c>
      <c r="H10" s="4" t="inlineStr">
        <is>
          <t>절토사면</t>
        </is>
      </c>
      <c r="I10" s="4" t="inlineStr">
        <is>
          <t>토목</t>
        </is>
      </c>
      <c r="J10" s="4" t="inlineStr">
        <is>
          <t>토질·지질</t>
        </is>
      </c>
      <c r="K10" s="4" t="inlineStr">
        <is>
          <t>안전점검</t>
        </is>
      </c>
      <c r="L10" s="4" t="inlineStr">
        <is>
          <t>불인정</t>
        </is>
      </c>
      <c r="M10" s="32" t="n"/>
      <c r="N10" s="33">
        <f>IF(M10="","",F10*M10)</f>
        <v/>
      </c>
      <c r="O10" s="7" t="inlineStr">
        <is>
          <t>[p02] 1995.01.05 이전 경력 (일반 5: 정밀안전점검, 긴급안전점검, 성능평가 및 정밀안전진단에 대한 경력의 기산일은 관련법령 제정일(1995. 1. 5.) 이후로 한다.)</t>
        </is>
      </c>
      <c r="Q10" s="4" t="n"/>
      <c r="R10" s="32" t="n"/>
      <c r="S10" s="33">
        <f>IF(R10="","",F10*R10)</f>
        <v/>
      </c>
      <c r="T10" s="7" t="n"/>
    </row>
    <row r="11" ht="33" customHeight="1">
      <c r="A11" s="34" t="inlineStr">
        <is>
          <t>정밀안전점검·긴급안전점검</t>
        </is>
      </c>
      <c r="B11" s="35" t="inlineStr">
        <is>
          <t>국도 ○호선 ○○지구 절토사면 정밀안전점검</t>
        </is>
      </c>
      <c r="C11" s="36" t="inlineStr"/>
      <c r="D11" s="37" t="n">
        <v>35886</v>
      </c>
      <c r="E11" s="37" t="n">
        <v>36099</v>
      </c>
      <c r="F11" s="38" t="n">
        <v>214</v>
      </c>
      <c r="G11" s="34" t="inlineStr">
        <is>
          <t>○○국토관리사무소</t>
        </is>
      </c>
      <c r="H11" s="34" t="inlineStr">
        <is>
          <t>절토사면</t>
        </is>
      </c>
      <c r="I11" s="34" t="inlineStr">
        <is>
          <t>토목</t>
        </is>
      </c>
      <c r="J11" s="34" t="inlineStr">
        <is>
          <t>토질·지질</t>
        </is>
      </c>
      <c r="K11" s="34" t="inlineStr">
        <is>
          <t>안전점검</t>
        </is>
      </c>
      <c r="L11" s="39" t="inlineStr">
        <is>
          <t>유사</t>
        </is>
      </c>
      <c r="M11" s="40" t="n">
        <v>0.5</v>
      </c>
      <c r="N11" s="41">
        <f>IF(M11="","",F11*M11)</f>
        <v/>
      </c>
      <c r="O11" s="36" t="inlineStr">
        <is>
          <t>[p02] 해당분야: 비탈면·옹벽(사업명 '절토사면') / 도로유형: 당해분야(일반국도 — 도로법 제10조에 따른 도로) → 유사용역 (세부 1-나 ①: 도로법 제10조의 도로에 대한 절토사면 또는 옹벽을 대상으로 한 경우) / 용역유형: 정밀안전점검·긴급안전점검(사업명 기준) → 50% (가-2 ③)</t>
        </is>
      </c>
      <c r="Q11" s="4" t="n"/>
      <c r="R11" s="32" t="n"/>
      <c r="S11" s="33">
        <f>IF(R11="","",F11*R11)</f>
        <v/>
      </c>
      <c r="T11" s="7" t="n"/>
    </row>
    <row r="12" ht="33" customHeight="1">
      <c r="A12" s="34" t="inlineStr">
        <is>
          <t>정밀안전진단·성능평가</t>
        </is>
      </c>
      <c r="B12" s="35" t="inlineStr">
        <is>
          <t>지방도 ○○○호선 옹벽 정밀안전진단</t>
        </is>
      </c>
      <c r="C12" s="36" t="inlineStr"/>
      <c r="D12" s="37" t="n">
        <v>37690</v>
      </c>
      <c r="E12" s="37" t="n">
        <v>37975</v>
      </c>
      <c r="F12" s="38" t="n">
        <v>286</v>
      </c>
      <c r="G12" s="34" t="inlineStr">
        <is>
          <t>○○도 도로관리사업소</t>
        </is>
      </c>
      <c r="H12" s="34" t="inlineStr">
        <is>
          <t>옹벽</t>
        </is>
      </c>
      <c r="I12" s="34" t="inlineStr">
        <is>
          <t>토목</t>
        </is>
      </c>
      <c r="J12" s="34" t="inlineStr">
        <is>
          <t>토질·지질</t>
        </is>
      </c>
      <c r="K12" s="34" t="inlineStr">
        <is>
          <t>안전진단</t>
        </is>
      </c>
      <c r="L12" s="39" t="inlineStr">
        <is>
          <t>유사</t>
        </is>
      </c>
      <c r="M12" s="40" t="n">
        <v>1</v>
      </c>
      <c r="N12" s="41">
        <f>IF(M12="","",F12*M12)</f>
        <v/>
      </c>
      <c r="O12" s="36" t="inlineStr">
        <is>
          <t>[p02] 해당분야: 비탈면·옹벽(사업명 '옹벽') / 도로유형: 당해분야(지방도 — 도로법 제10조에 따른 도로) → 유사용역 (세부 1-나 ①: 도로법 제10조의 도로에 대한 절토사면 또는 옹벽을 대상으로 한 경우) / 용역유형: 정밀안전진단·성능평가(사업명 기준) → 100% (가-2 ③)</t>
        </is>
      </c>
      <c r="Q12" s="4" t="n"/>
      <c r="R12" s="32" t="n"/>
      <c r="S12" s="33">
        <f>IF(R12="","",F12*R12)</f>
        <v/>
      </c>
      <c r="T12" s="7" t="n"/>
    </row>
    <row r="13" ht="33" customHeight="1">
      <c r="A13" s="34" t="inlineStr">
        <is>
          <t>정밀안전진단·성능평가</t>
        </is>
      </c>
      <c r="B13" s="35" t="inlineStr">
        <is>
          <t>○○고속도로 ○○구간 비탈면 성능평가</t>
        </is>
      </c>
      <c r="C13" s="36" t="inlineStr"/>
      <c r="D13" s="37" t="n">
        <v>38838</v>
      </c>
      <c r="E13" s="37" t="n">
        <v>39066</v>
      </c>
      <c r="F13" s="38" t="n">
        <v>229</v>
      </c>
      <c r="G13" s="34" t="inlineStr">
        <is>
          <t>한국도로공사</t>
        </is>
      </c>
      <c r="H13" s="34" t="inlineStr">
        <is>
          <t>도로사면</t>
        </is>
      </c>
      <c r="I13" s="34" t="inlineStr">
        <is>
          <t>토목</t>
        </is>
      </c>
      <c r="J13" s="34" t="inlineStr">
        <is>
          <t>토질·지질</t>
        </is>
      </c>
      <c r="K13" s="34" t="inlineStr">
        <is>
          <t>성능평가</t>
        </is>
      </c>
      <c r="L13" s="39" t="inlineStr">
        <is>
          <t>유사</t>
        </is>
      </c>
      <c r="M13" s="40" t="n">
        <v>1</v>
      </c>
      <c r="N13" s="41">
        <f>IF(M13="","",F13*M13)</f>
        <v/>
      </c>
      <c r="O13" s="36" t="inlineStr">
        <is>
          <t>[p02] 해당분야: 비탈면·옹벽(사업명 '비탈면') / 도로유형: 당해분야(고속국도 — 도로법 제10조에 따른 도로) → 유사용역 (세부 1-나 ①: 도로법 제10조의 도로에 대한 절토사면 또는 옹벽을 대상으로 한 경우) / 용역유형: 정밀안전진단·성능평가(사업명 기준) → 100% (가-2 ③)</t>
        </is>
      </c>
      <c r="Q13" s="4" t="n"/>
      <c r="R13" s="32" t="n"/>
      <c r="S13" s="33">
        <f>IF(R13="","",F13*R13)</f>
        <v/>
      </c>
      <c r="T13" s="7" t="n"/>
    </row>
    <row r="14" ht="33" customHeight="1">
      <c r="A14" s="34" t="inlineStr">
        <is>
          <t>정밀안전점검·긴급안전점검</t>
        </is>
      </c>
      <c r="B14" s="35" t="inlineStr">
        <is>
          <t>○○시 시도 ○○로 옹벽 긴급안전점검</t>
        </is>
      </c>
      <c r="C14" s="36" t="inlineStr"/>
      <c r="D14" s="37" t="n">
        <v>39489</v>
      </c>
      <c r="E14" s="37" t="n">
        <v>39721</v>
      </c>
      <c r="F14" s="38" t="n">
        <v>233</v>
      </c>
      <c r="G14" s="34" t="inlineStr">
        <is>
          <t>○○시청</t>
        </is>
      </c>
      <c r="H14" s="34" t="inlineStr">
        <is>
          <t>옹벽</t>
        </is>
      </c>
      <c r="I14" s="34" t="inlineStr">
        <is>
          <t>토목</t>
        </is>
      </c>
      <c r="J14" s="34" t="inlineStr">
        <is>
          <t>토질·지질</t>
        </is>
      </c>
      <c r="K14" s="34" t="inlineStr">
        <is>
          <t>안전점검</t>
        </is>
      </c>
      <c r="L14" s="39" t="inlineStr">
        <is>
          <t>유사</t>
        </is>
      </c>
      <c r="M14" s="40" t="n">
        <v>0.5</v>
      </c>
      <c r="N14" s="41">
        <f>IF(M14="","",F14*M14)</f>
        <v/>
      </c>
      <c r="O14" s="36" t="inlineStr">
        <is>
          <t>[p02] 해당분야: 비탈면·옹벽(사업명 '옹벽') / 도로유형: 당해분야(시도 — 도로법 제10조에 따른 도로) → 유사용역 (세부 1-나 ①: 도로법 제10조의 도로에 대한 절토사면 또는 옹벽을 대상으로 한 경우) / 용역유형: 정밀안전점검·긴급안전점검(사업명 기준) → 50% (가-2 ③)</t>
        </is>
      </c>
      <c r="Q14" s="4" t="n"/>
      <c r="R14" s="32" t="n"/>
      <c r="S14" s="33">
        <f>IF(R14="","",F14*R14)</f>
        <v/>
      </c>
      <c r="T14" s="7" t="n"/>
    </row>
    <row r="15" ht="63" customHeight="1">
      <c r="A15" s="42" t="inlineStr">
        <is>
          <t>정밀안전진단·성능평가</t>
        </is>
      </c>
      <c r="B15" s="43" t="inlineStr">
        <is>
          <t>○○초등학교 배면 옹벽 정밀안전진단</t>
        </is>
      </c>
      <c r="C15" s="44" t="inlineStr"/>
      <c r="D15" s="45" t="n">
        <v>40239</v>
      </c>
      <c r="E15" s="45" t="n">
        <v>40512</v>
      </c>
      <c r="F15" s="46" t="n">
        <v>274</v>
      </c>
      <c r="G15" s="42" t="inlineStr">
        <is>
          <t>○○교육지원청</t>
        </is>
      </c>
      <c r="H15" s="42" t="inlineStr">
        <is>
          <t>옹벽</t>
        </is>
      </c>
      <c r="I15" s="42" t="inlineStr">
        <is>
          <t>토목</t>
        </is>
      </c>
      <c r="J15" s="42" t="inlineStr">
        <is>
          <t>토질·지질</t>
        </is>
      </c>
      <c r="K15" s="42" t="inlineStr">
        <is>
          <t>안전진단</t>
        </is>
      </c>
      <c r="L15" s="47" t="inlineStr">
        <is>
          <t>관련</t>
        </is>
      </c>
      <c r="M15" s="48" t="n">
        <v>0.6</v>
      </c>
      <c r="N15" s="49">
        <f>IF(M15="","",F15*M15)</f>
        <v/>
      </c>
      <c r="O15" s="50" t="inlineStr">
        <is>
          <t>[p02] 해당분야: 비탈면·옹벽(공사종류 '옹벽') / 도로유형: 그 외 분야('학교' — 도로법 제10조에 해당하지 않는 도로) → 관련용역 (세부 1-나 ②: 위 용역 중 ①항 이외의 절토사면 또는 옹벽을 대상으로 한 경우(건축분야 제외)) / 용역유형: 정밀안전진단·성능평가(사업명 기준) → 60% (가-2 ③)
[확인필요] 사업명에 대상('옹벽')·비대상('학교') 어휘 혼재
[확인필요] 관련용역: 건축분야 제외 해당 여부 확인 필요(해당 시 불인정)</t>
        </is>
      </c>
      <c r="Q15" s="4" t="n"/>
      <c r="R15" s="32" t="n"/>
      <c r="S15" s="33">
        <f>IF(R15="","",F15*R15)</f>
        <v/>
      </c>
      <c r="T15" s="7" t="n"/>
    </row>
    <row r="16" ht="48" customHeight="1">
      <c r="A16" s="42" t="inlineStr">
        <is>
          <t>정밀안전점검·긴급안전점검</t>
        </is>
      </c>
      <c r="B16" s="43" t="inlineStr">
        <is>
          <t>○○면 농어촌도로 절토사면 정밀안전점검</t>
        </is>
      </c>
      <c r="C16" s="44" t="inlineStr"/>
      <c r="D16" s="45" t="n">
        <v>40637</v>
      </c>
      <c r="E16" s="45" t="n">
        <v>40847</v>
      </c>
      <c r="F16" s="46" t="n">
        <v>211</v>
      </c>
      <c r="G16" s="42" t="inlineStr">
        <is>
          <t>○○군청</t>
        </is>
      </c>
      <c r="H16" s="42" t="inlineStr">
        <is>
          <t>절토사면</t>
        </is>
      </c>
      <c r="I16" s="42" t="inlineStr">
        <is>
          <t>토목</t>
        </is>
      </c>
      <c r="J16" s="42" t="inlineStr">
        <is>
          <t>토질·지질</t>
        </is>
      </c>
      <c r="K16" s="42" t="inlineStr">
        <is>
          <t>안전점검</t>
        </is>
      </c>
      <c r="L16" s="47" t="inlineStr">
        <is>
          <t>관련</t>
        </is>
      </c>
      <c r="M16" s="48" t="n">
        <v>0.3</v>
      </c>
      <c r="N16" s="49">
        <f>IF(M16="","",F16*M16)</f>
        <v/>
      </c>
      <c r="O16" s="50" t="inlineStr">
        <is>
          <t>[p02] 해당분야: 비탈면·옹벽(사업명 '절토사면') / 도로유형: 그 외 분야('농어촌도로' — 도로법 제10조에 해당하지 않는 도로) → 관련용역 (세부 1-나 ②: 위 용역 중 ①항 이외의 절토사면 또는 옹벽을 대상으로 한 경우(건축분야 제외)) / 용역유형: 정밀안전점검·긴급안전점검(사업명 기준) → 30% (가-2 ③)
[확인필요] 관련용역: 건축분야 제외 해당 여부 확인 필요(해당 시 불인정)</t>
        </is>
      </c>
      <c r="Q16" s="4" t="n"/>
      <c r="R16" s="32" t="n"/>
      <c r="S16" s="33">
        <f>IF(R16="","",F16*R16)</f>
        <v/>
      </c>
      <c r="T16" s="7" t="n"/>
    </row>
    <row r="17" ht="33" customHeight="1">
      <c r="A17" s="4" t="inlineStr">
        <is>
          <t>정밀안전진단·성능평가</t>
        </is>
      </c>
      <c r="B17" s="29" t="inlineStr">
        <is>
          <t>○○대교 정밀안전진단</t>
        </is>
      </c>
      <c r="C17" s="7" t="inlineStr"/>
      <c r="D17" s="30" t="n">
        <v>40973</v>
      </c>
      <c r="E17" s="30" t="n">
        <v>41257</v>
      </c>
      <c r="F17" s="31" t="n">
        <v>285</v>
      </c>
      <c r="G17" s="4" t="inlineStr">
        <is>
          <t>○○국토관리사무소</t>
        </is>
      </c>
      <c r="H17" s="4" t="inlineStr">
        <is>
          <t>교량</t>
        </is>
      </c>
      <c r="I17" s="4" t="inlineStr">
        <is>
          <t>토목</t>
        </is>
      </c>
      <c r="J17" s="4" t="inlineStr">
        <is>
          <t>토질·지질</t>
        </is>
      </c>
      <c r="K17" s="4" t="inlineStr">
        <is>
          <t>안전진단</t>
        </is>
      </c>
      <c r="L17" s="4" t="inlineStr">
        <is>
          <t>불인정</t>
        </is>
      </c>
      <c r="M17" s="32" t="n"/>
      <c r="N17" s="33">
        <f>IF(M17="","",F17*M17)</f>
        <v/>
      </c>
      <c r="O17" s="7" t="inlineStr">
        <is>
          <t>[p02] 사업명 '대교' — 해당분야(비탈면·옹벽) 아님</t>
        </is>
      </c>
      <c r="Q17" s="4" t="n"/>
      <c r="R17" s="32" t="n"/>
      <c r="S17" s="33">
        <f>IF(R17="","",F17*R17)</f>
        <v/>
      </c>
      <c r="T17" s="7" t="n"/>
    </row>
    <row r="18" ht="33" customHeight="1">
      <c r="A18" s="4" t="inlineStr">
        <is>
          <t>정밀안전점검·긴급안전점검</t>
        </is>
      </c>
      <c r="B18" s="29" t="inlineStr">
        <is>
          <t>○○터널 정밀안전점검</t>
        </is>
      </c>
      <c r="C18" s="7" t="inlineStr"/>
      <c r="D18" s="30" t="n">
        <v>41309</v>
      </c>
      <c r="E18" s="30" t="n">
        <v>41516</v>
      </c>
      <c r="F18" s="31" t="n">
        <v>208</v>
      </c>
      <c r="G18" s="4" t="inlineStr">
        <is>
          <t>한국도로공사</t>
        </is>
      </c>
      <c r="H18" s="4" t="inlineStr">
        <is>
          <t>터널</t>
        </is>
      </c>
      <c r="I18" s="4" t="inlineStr">
        <is>
          <t>토목</t>
        </is>
      </c>
      <c r="J18" s="4" t="inlineStr">
        <is>
          <t>토질·지질</t>
        </is>
      </c>
      <c r="K18" s="4" t="inlineStr">
        <is>
          <t>안전점검</t>
        </is>
      </c>
      <c r="L18" s="4" t="inlineStr">
        <is>
          <t>불인정</t>
        </is>
      </c>
      <c r="M18" s="32" t="n"/>
      <c r="N18" s="33">
        <f>IF(M18="","",F18*M18)</f>
        <v/>
      </c>
      <c r="O18" s="7" t="inlineStr">
        <is>
          <t>[p03] 사업명 '터널' — 해당분야(비탈면·옹벽) 아님</t>
        </is>
      </c>
      <c r="Q18" s="4" t="n"/>
      <c r="R18" s="32" t="n"/>
      <c r="S18" s="33">
        <f>IF(R18="","",F18*R18)</f>
        <v/>
      </c>
      <c r="T18" s="7" t="n"/>
    </row>
    <row r="19" ht="48" customHeight="1">
      <c r="A19" s="4" t="inlineStr">
        <is>
          <t>해당 없음</t>
        </is>
      </c>
      <c r="B19" s="29" t="inlineStr">
        <is>
          <t>○○지구 급경사지 붕괴위험지역 실태조사 및 점검</t>
        </is>
      </c>
      <c r="C19" s="7" t="inlineStr"/>
      <c r="D19" s="30" t="n">
        <v>41701</v>
      </c>
      <c r="E19" s="30" t="n">
        <v>42004</v>
      </c>
      <c r="F19" s="31" t="n">
        <v>304</v>
      </c>
      <c r="G19" s="4" t="inlineStr">
        <is>
          <t>○○시청</t>
        </is>
      </c>
      <c r="H19" s="4" t="inlineStr">
        <is>
          <t>사면</t>
        </is>
      </c>
      <c r="I19" s="4" t="inlineStr">
        <is>
          <t>토목</t>
        </is>
      </c>
      <c r="J19" s="4" t="inlineStr">
        <is>
          <t>토질·지질</t>
        </is>
      </c>
      <c r="K19" s="4" t="inlineStr">
        <is>
          <t>조사</t>
        </is>
      </c>
      <c r="L19" s="4" t="inlineStr">
        <is>
          <t>불인정</t>
        </is>
      </c>
      <c r="M19" s="48" t="n"/>
      <c r="N19" s="33">
        <f>IF(M19="","",F19*M19)</f>
        <v/>
      </c>
      <c r="O19" s="50" t="inlineStr">
        <is>
          <t>[p03] 급경사지 용역 — 시설물안전법 제11~13조·40조 용역 여부 불명
[확인필요] 급경사지 용역: 시설물안전법 용역으로 확인되면 인정 가능</t>
        </is>
      </c>
      <c r="Q19" s="4" t="n"/>
      <c r="R19" s="32" t="n"/>
      <c r="S19" s="33">
        <f>IF(R19="","",F19*R19)</f>
        <v/>
      </c>
      <c r="T19" s="7" t="n"/>
    </row>
    <row r="20" ht="48" customHeight="1">
      <c r="A20" s="34" t="inlineStr">
        <is>
          <t>정밀안전점검·긴급안전점검</t>
        </is>
      </c>
      <c r="B20" s="35" t="inlineStr">
        <is>
          <t>○○읍 절토사면 정밀안전점검</t>
        </is>
      </c>
      <c r="C20" s="36" t="inlineStr">
        <is>
          <t>L=320m 절토사면</t>
        </is>
      </c>
      <c r="D20" s="37" t="n">
        <v>42135</v>
      </c>
      <c r="E20" s="37" t="n">
        <v>42338</v>
      </c>
      <c r="F20" s="38" t="n">
        <v>204</v>
      </c>
      <c r="G20" s="34" t="inlineStr">
        <is>
          <t>○○군청</t>
        </is>
      </c>
      <c r="H20" s="34" t="inlineStr">
        <is>
          <t>절토사면</t>
        </is>
      </c>
      <c r="I20" s="34" t="inlineStr">
        <is>
          <t>토목</t>
        </is>
      </c>
      <c r="J20" s="34" t="inlineStr">
        <is>
          <t>토질·지질</t>
        </is>
      </c>
      <c r="K20" s="34" t="inlineStr">
        <is>
          <t>안전점검</t>
        </is>
      </c>
      <c r="L20" s="39" t="inlineStr">
        <is>
          <t>유사</t>
        </is>
      </c>
      <c r="M20" s="48" t="n">
        <v>0.5</v>
      </c>
      <c r="N20" s="41">
        <f>IF(M20="","",F20*M20)</f>
        <v/>
      </c>
      <c r="O20" s="50" t="inlineStr">
        <is>
          <t>[p03] 해당분야: 비탈면·옹벽(사업명 '절토사면') / 도로유형: 당해분야로 가정(노선 미기재) → 유사용역 (세부 1-나 ①: 도로법 제10조의 도로에 대한 절토사면 또는 옹벽을 대상으로 한 경우) / 용역유형: 정밀안전점검·긴급안전점검(사업명 기준) → 50% (가-2 ③)
[확인필요] 노선 미기재: 도로법 제10조 도로(시도·군도 등)면 유사, 면도·리도 등이면 관련</t>
        </is>
      </c>
      <c r="Q20" s="4" t="n"/>
      <c r="R20" s="32" t="n"/>
      <c r="S20" s="33">
        <f>IF(R20="","",F20*R20)</f>
        <v/>
      </c>
      <c r="T20" s="7" t="n"/>
    </row>
    <row r="21" ht="33" customHeight="1">
      <c r="A21" s="4" t="inlineStr">
        <is>
          <t>해당 없음</t>
        </is>
      </c>
      <c r="B21" s="29" t="inlineStr">
        <is>
          <t>국도 ○○호선 도로 확포장공사 실시설계</t>
        </is>
      </c>
      <c r="C21" s="7" t="inlineStr"/>
      <c r="D21" s="30" t="n">
        <v>42461</v>
      </c>
      <c r="E21" s="30" t="n">
        <v>42724</v>
      </c>
      <c r="F21" s="31" t="n">
        <v>264</v>
      </c>
      <c r="G21" s="4" t="inlineStr">
        <is>
          <t>○○국토관리사무소</t>
        </is>
      </c>
      <c r="H21" s="4" t="inlineStr">
        <is>
          <t>국도</t>
        </is>
      </c>
      <c r="I21" s="4" t="inlineStr">
        <is>
          <t>토목</t>
        </is>
      </c>
      <c r="J21" s="4" t="inlineStr">
        <is>
          <t>토질·지질</t>
        </is>
      </c>
      <c r="K21" s="4" t="inlineStr">
        <is>
          <t>설계</t>
        </is>
      </c>
      <c r="L21" s="4" t="inlineStr">
        <is>
          <t>불인정</t>
        </is>
      </c>
      <c r="M21" s="32" t="n"/>
      <c r="N21" s="33">
        <f>IF(M21="","",F21*M21)</f>
        <v/>
      </c>
      <c r="O21" s="7" t="inlineStr">
        <is>
          <t>[p03] 용역유형 해당 없음 — 점검·진단·성능평가 용역 아님 (세부 1-나 ①: 시설물안전법 제11조~제13조, 제40조에 따른 정밀(긴급)안전점검, 정밀안전진단 및 성능평가 용역)</t>
        </is>
      </c>
      <c r="Q21" s="4" t="n"/>
      <c r="R21" s="32" t="n"/>
      <c r="S21" s="33">
        <f>IF(R21="","",F21*R21)</f>
        <v/>
      </c>
      <c r="T21" s="7" t="n"/>
    </row>
    <row r="22" ht="48" customHeight="1">
      <c r="A22" s="34" t="inlineStr">
        <is>
          <t>정밀안전점검·긴급안전점검</t>
        </is>
      </c>
      <c r="B22" s="35" t="inlineStr">
        <is>
          <t>지방도 ○○○호선 옹벽 정밀안전점검 및 정기안전점검</t>
        </is>
      </c>
      <c r="C22" s="36" t="inlineStr"/>
      <c r="D22" s="37" t="n">
        <v>43171</v>
      </c>
      <c r="E22" s="37" t="n">
        <v>43404</v>
      </c>
      <c r="F22" s="38" t="n">
        <v>234</v>
      </c>
      <c r="G22" s="34" t="inlineStr">
        <is>
          <t>○○도 도로관리사업소</t>
        </is>
      </c>
      <c r="H22" s="34" t="inlineStr">
        <is>
          <t>옹벽</t>
        </is>
      </c>
      <c r="I22" s="34" t="inlineStr">
        <is>
          <t>토목</t>
        </is>
      </c>
      <c r="J22" s="34" t="inlineStr">
        <is>
          <t>토질·지질</t>
        </is>
      </c>
      <c r="K22" s="34" t="inlineStr">
        <is>
          <t>안전점검</t>
        </is>
      </c>
      <c r="L22" s="39" t="inlineStr">
        <is>
          <t>유사</t>
        </is>
      </c>
      <c r="M22" s="48" t="n">
        <v>0.5</v>
      </c>
      <c r="N22" s="41">
        <f>IF(M22="","",F22*M22)</f>
        <v/>
      </c>
      <c r="O22" s="50" t="inlineStr">
        <is>
          <t>[p03] 해당분야: 비탈면·옹벽(사업명 '옹벽') / 도로유형: 당해분야(지방도 — 도로법 제10조에 따른 도로) → 유사용역 (세부 1-나 ①: 도로법 제10조의 도로에 대한 절토사면 또는 옹벽을 대상으로 한 경우) / 용역유형: 정밀안전점검·긴급안전점검(사업명 기준) → 50% (가-2 ③)
[확인필요] 사업명에 정기점검 포함 — 정기점검은 대상 용역 아님, 인정일 분리 근거 없음</t>
        </is>
      </c>
      <c r="Q22" s="4" t="n"/>
      <c r="R22" s="32" t="n"/>
      <c r="S22" s="33">
        <f>IF(R22="","",F22*R22)</f>
        <v/>
      </c>
      <c r="T22" s="7" t="n"/>
    </row>
    <row r="23" ht="33" customHeight="1">
      <c r="A23" s="4" t="inlineStr">
        <is>
          <t>정밀안전점검·긴급안전점검</t>
        </is>
      </c>
      <c r="B23" s="29" t="inlineStr">
        <is>
          <t>○○하천 제방 정밀안전점검</t>
        </is>
      </c>
      <c r="C23" s="7" t="inlineStr"/>
      <c r="D23" s="30" t="n">
        <v>43864</v>
      </c>
      <c r="E23" s="30" t="n">
        <v>44183</v>
      </c>
      <c r="F23" s="31" t="n">
        <v>320</v>
      </c>
      <c r="G23" s="4" t="inlineStr">
        <is>
          <t>○○시청</t>
        </is>
      </c>
      <c r="H23" s="4" t="inlineStr">
        <is>
          <t>제방</t>
        </is>
      </c>
      <c r="I23" s="4" t="inlineStr">
        <is>
          <t>토목</t>
        </is>
      </c>
      <c r="J23" s="4" t="inlineStr">
        <is>
          <t>토질·지질</t>
        </is>
      </c>
      <c r="K23" s="4" t="inlineStr">
        <is>
          <t>안전점검</t>
        </is>
      </c>
      <c r="L23" s="4" t="inlineStr">
        <is>
          <t>불인정</t>
        </is>
      </c>
      <c r="M23" s="32" t="n"/>
      <c r="N23" s="33">
        <f>IF(M23="","",F23*M23)</f>
        <v/>
      </c>
      <c r="O23" s="7" t="inlineStr">
        <is>
          <t>[p03] 사업명 '제방' — 해당분야(비탈면·옹벽) 아님</t>
        </is>
      </c>
      <c r="Q23" s="4" t="n"/>
      <c r="R23" s="32" t="n"/>
      <c r="S23" s="33">
        <f>IF(R23="","",F23*R23)</f>
        <v/>
      </c>
      <c r="T23" s="7" t="n"/>
    </row>
    <row r="24" ht="33" customHeight="1">
      <c r="A24" s="34" t="inlineStr">
        <is>
          <t>정밀안전진단·성능평가</t>
        </is>
      </c>
      <c r="B24" s="35" t="inlineStr">
        <is>
          <t>국도 ○○호선 절토사면 정밀안전진단</t>
        </is>
      </c>
      <c r="C24" s="36" t="inlineStr"/>
      <c r="D24" s="37" t="n">
        <v>44627</v>
      </c>
      <c r="E24" s="37" t="n">
        <v>44918</v>
      </c>
      <c r="F24" s="38" t="n">
        <v>292</v>
      </c>
      <c r="G24" s="34" t="inlineStr">
        <is>
          <t>○○국도관리사무소</t>
        </is>
      </c>
      <c r="H24" s="34" t="inlineStr">
        <is>
          <t>절토사면</t>
        </is>
      </c>
      <c r="I24" s="34" t="inlineStr">
        <is>
          <t>토목</t>
        </is>
      </c>
      <c r="J24" s="34" t="inlineStr">
        <is>
          <t>토질·지질</t>
        </is>
      </c>
      <c r="K24" s="34" t="inlineStr">
        <is>
          <t>안전진단</t>
        </is>
      </c>
      <c r="L24" s="39" t="inlineStr">
        <is>
          <t>유사</t>
        </is>
      </c>
      <c r="M24" s="40" t="n">
        <v>1</v>
      </c>
      <c r="N24" s="41">
        <f>IF(M24="","",F24*M24)</f>
        <v/>
      </c>
      <c r="O24" s="36" t="inlineStr">
        <is>
          <t>[p03] 해당분야: 비탈면·옹벽(사업명 '절토사면') / 도로유형: 당해분야(일반국도 — 도로법 제10조에 따른 도로) → 유사용역 (세부 1-나 ①: 도로법 제10조의 도로에 대한 절토사면 또는 옹벽을 대상으로 한 경우) / 용역유형: 정밀안전진단·성능평가(사업명 기준) → 100% (가-2 ③)</t>
        </is>
      </c>
      <c r="Q24" s="4" t="n"/>
      <c r="R24" s="32" t="n"/>
      <c r="S24" s="33">
        <f>IF(R24="","",F24*R24)</f>
        <v/>
      </c>
      <c r="T24" s="7" t="n"/>
    </row>
    <row r="25" ht="33" customHeight="1">
      <c r="A25" s="4" t="inlineStr">
        <is>
          <t>정밀안전점검·긴급안전점검</t>
        </is>
      </c>
      <c r="B25" s="29" t="inlineStr">
        <is>
          <t>○○고속도로 비탈면 정밀안전점검</t>
        </is>
      </c>
      <c r="C25" s="7" t="inlineStr"/>
      <c r="D25" s="30" t="n">
        <v>45720</v>
      </c>
      <c r="E25" s="30" t="inlineStr">
        <is>
          <t>근무중</t>
        </is>
      </c>
      <c r="F25" s="31" t="n">
        <v>220</v>
      </c>
      <c r="G25" s="4" t="inlineStr">
        <is>
          <t>한국도로공사</t>
        </is>
      </c>
      <c r="H25" s="4" t="inlineStr">
        <is>
          <t>도로사면</t>
        </is>
      </c>
      <c r="I25" s="4" t="inlineStr">
        <is>
          <t>토목</t>
        </is>
      </c>
      <c r="J25" s="4" t="inlineStr">
        <is>
          <t>토질·지질</t>
        </is>
      </c>
      <c r="K25" s="4" t="inlineStr">
        <is>
          <t>안전점검</t>
        </is>
      </c>
      <c r="L25" s="4" t="inlineStr">
        <is>
          <t>불인정</t>
        </is>
      </c>
      <c r="M25" s="32" t="n"/>
      <c r="N25" s="33">
        <f>IF(M25="","",F25*M25)</f>
        <v/>
      </c>
      <c r="O25" s="7" t="inlineStr">
        <is>
          <t>[p03] 종료일 '근무중' — 준공되지 않은 용역 (세부 2: '유사용역'·'관련용역'은 준공된 용역에 한한다.)</t>
        </is>
      </c>
      <c r="Q25" s="4" t="n"/>
      <c r="R25" s="32" t="n"/>
      <c r="S25" s="33">
        <f>IF(R25="","",F25*R25)</f>
        <v/>
      </c>
      <c r="T25" s="7" t="n"/>
    </row>
    <row r="26" ht="33" customHeight="1">
      <c r="A26" s="4" t="inlineStr">
        <is>
          <t>해당 없음</t>
        </is>
      </c>
      <c r="B26" s="29" t="inlineStr">
        <is>
          <t>국도 ○호선 절토사면 보강공사 건설사업관리</t>
        </is>
      </c>
      <c r="C26" s="7" t="inlineStr"/>
      <c r="D26" s="30" t="n">
        <v>43528</v>
      </c>
      <c r="E26" s="30" t="n">
        <v>43826</v>
      </c>
      <c r="F26" s="31" t="n">
        <v>299</v>
      </c>
      <c r="G26" s="4" t="inlineStr">
        <is>
          <t>○○국토관리사무소</t>
        </is>
      </c>
      <c r="H26" s="4" t="inlineStr">
        <is>
          <t>절토사면</t>
        </is>
      </c>
      <c r="I26" s="4" t="inlineStr">
        <is>
          <t>토목</t>
        </is>
      </c>
      <c r="J26" s="4" t="inlineStr">
        <is>
          <t>토질·지질</t>
        </is>
      </c>
      <c r="K26" s="4" t="inlineStr">
        <is>
          <t>건설사업관리</t>
        </is>
      </c>
      <c r="L26" s="4" t="inlineStr">
        <is>
          <t>불인정</t>
        </is>
      </c>
      <c r="M26" s="32" t="n"/>
      <c r="N26" s="33">
        <f>IF(M26="","",F26*M26)</f>
        <v/>
      </c>
      <c r="O26" s="7" t="inlineStr">
        <is>
          <t>[p04] 건설사업관리·감리 경력 — 점검·진단·성능평가 용역 아님</t>
        </is>
      </c>
      <c r="Q26" s="4" t="n"/>
      <c r="R26" s="32" t="n"/>
      <c r="S26" s="33">
        <f>IF(R26="","",F26*R26)</f>
        <v/>
      </c>
      <c r="T26" s="7" t="n"/>
    </row>
    <row r="27">
      <c r="A27" s="2" t="inlineStr">
        <is>
          <t>유사용역</t>
        </is>
      </c>
      <c r="B27" s="3" t="inlineStr">
        <is>
          <t>소   계</t>
        </is>
      </c>
      <c r="C27" s="6" t="n"/>
      <c r="D27" s="6" t="n"/>
      <c r="E27" s="5" t="n"/>
      <c r="F27" s="51">
        <f>SUMIF(L10:L26,"유사",F10:F26)</f>
        <v/>
      </c>
      <c r="G27" s="52" t="n"/>
      <c r="H27" s="6" t="n"/>
      <c r="I27" s="6" t="n"/>
      <c r="J27" s="6" t="n"/>
      <c r="K27" s="6" t="n"/>
      <c r="L27" s="6" t="n"/>
      <c r="M27" s="5" t="n"/>
      <c r="N27" s="53">
        <f>SUMIF(L10:L26,"유사",N10:N26)</f>
        <v/>
      </c>
      <c r="O27" s="52" t="n"/>
      <c r="Q27" s="3" t="inlineStr">
        <is>
          <t>유사</t>
        </is>
      </c>
      <c r="R27" s="3" t="n"/>
      <c r="S27" s="53">
        <f>SUMIF(Q10:Q26,"유사",S10:S26)</f>
        <v/>
      </c>
      <c r="T27" s="3" t="n"/>
    </row>
    <row r="28">
      <c r="A28" s="2" t="inlineStr">
        <is>
          <t>관련용역</t>
        </is>
      </c>
      <c r="B28" s="3" t="inlineStr">
        <is>
          <t>소   계</t>
        </is>
      </c>
      <c r="C28" s="6" t="n"/>
      <c r="D28" s="6" t="n"/>
      <c r="E28" s="5" t="n"/>
      <c r="F28" s="51">
        <f>SUMIF(L10:L26,"관련",F10:F26)</f>
        <v/>
      </c>
      <c r="G28" s="52" t="n"/>
      <c r="H28" s="6" t="n"/>
      <c r="I28" s="6" t="n"/>
      <c r="J28" s="6" t="n"/>
      <c r="K28" s="6" t="n"/>
      <c r="L28" s="6" t="n"/>
      <c r="M28" s="5" t="n"/>
      <c r="N28" s="53">
        <f>SUMIF(L10:L26,"관련",N10:N26)</f>
        <v/>
      </c>
      <c r="O28" s="52" t="n"/>
      <c r="Q28" s="3" t="inlineStr">
        <is>
          <t>관련</t>
        </is>
      </c>
      <c r="R28" s="3" t="n"/>
      <c r="S28" s="53">
        <f>SUMIF(Q10:Q26,"관련",S10:S26)</f>
        <v/>
      </c>
      <c r="T28" s="3" t="n"/>
    </row>
    <row r="29">
      <c r="A29" s="3" t="n"/>
      <c r="B29" s="2" t="inlineStr">
        <is>
          <t>총   계</t>
        </is>
      </c>
      <c r="C29" s="6" t="n"/>
      <c r="D29" s="6" t="n"/>
      <c r="E29" s="5" t="n"/>
      <c r="F29" s="51">
        <f>F27+F28</f>
        <v/>
      </c>
      <c r="G29" s="52" t="n"/>
      <c r="H29" s="6" t="n"/>
      <c r="I29" s="6" t="n"/>
      <c r="J29" s="6" t="n"/>
      <c r="K29" s="6" t="n"/>
      <c r="L29" s="6" t="n"/>
      <c r="M29" s="5" t="n"/>
      <c r="N29" s="53">
        <f>N27+N28</f>
        <v/>
      </c>
      <c r="O29" s="52" t="n"/>
      <c r="Q29" s="2" t="inlineStr">
        <is>
          <t>총   계</t>
        </is>
      </c>
      <c r="R29" s="5" t="n"/>
      <c r="S29" s="53">
        <f>S27+S28</f>
        <v/>
      </c>
      <c r="T29" s="3" t="n"/>
    </row>
    <row r="31" ht="18" customHeight="1">
      <c r="A31" s="54" t="inlineStr">
        <is>
          <t>[판정 방법] 평가기준: 2026 비탈면·옹벽 정밀안전진단 및 성능평가용역 — AI 인정여부·인정율 모두 사업명 기준, 담당업무는 참고</t>
        </is>
      </c>
    </row>
    <row r="32" ht="18" customHeight="1">
      <c r="A32" s="55" t="inlineStr">
        <is>
          <t>· 정의 — ① 해당분야: 비탈면·옹벽  ② 용역유형: 정밀안전진단·성능평가 / 정밀안전점검·긴급안전점검  ③ 도로유형: 당해분야(도로법 제10조에 따른 도로) → 유사용역 / 그 외 분야(도로법 제10조에 해당하지 않는 도로) → 관련용역</t>
        </is>
      </c>
    </row>
    <row r="33" ht="18" customHeight="1">
      <c r="A33" s="55" t="inlineStr">
        <is>
          <t>· 판정 순서: R0 기간(기산일·준공) → R1 경력 구분(감리 제외) → R2 용역 종류 → R3 대상 시설(절토사면·옹벽) → R4 위치(도로법 제10조 도로면 유사, 그 외 관련) → R5 인정율</t>
        </is>
      </c>
    </row>
    <row r="34" ht="18" customHeight="1">
      <c r="A34" s="55" t="inlineStr">
        <is>
          <t>· 세부 1-나 ①: 시설물안전법 제11조~제13조, 제40조에 따른 정밀(긴급)안전점검, 정밀안전진단 및 성능평가 용역</t>
        </is>
      </c>
    </row>
    <row r="35" ht="18" customHeight="1">
      <c r="A35" s="55" t="inlineStr">
        <is>
          <t>· 세부 1-나 ①: 도로법 제10조의 도로에 대한 절토사면 또는 옹벽을 대상으로 한 경우</t>
        </is>
      </c>
    </row>
    <row r="36" ht="18" customHeight="1">
      <c r="A36" s="55" t="inlineStr">
        <is>
          <t>· 세부 1-나 ②: 위 용역 중 ①항 이외의 절토사면 또는 옹벽을 대상으로 한 경우(건축분야 제외)</t>
        </is>
      </c>
    </row>
    <row r="37" ht="18" customHeight="1">
      <c r="A37" s="55" t="inlineStr">
        <is>
          <t>· 가-2) ③: 유사 — 정밀안전진단·성능평가 100%, 정밀(긴급)안전점검 50% / 관련 — 정밀안전진단·성능평가 60%, 정밀안전점검 30%</t>
        </is>
      </c>
    </row>
    <row r="38" ht="18" customHeight="1">
      <c r="A38" s="55" t="inlineStr">
        <is>
          <t>· 현재 적용 인정율 — 유사: 진단·성능평가 100%, 점검 50% / 관련: 진단·성능평가 60%, 점검 30%</t>
        </is>
      </c>
    </row>
    <row r="39" ht="18" customHeight="1">
      <c r="A39" s="54" t="inlineStr">
        <is>
          <t>[확인필요] 노란 칸 5건 — 평가위원 확인 필요</t>
        </is>
      </c>
    </row>
    <row r="40" ht="18" customHeight="1">
      <c r="A40" s="55" t="inlineStr">
        <is>
          <t>· 관련용역: 2건</t>
        </is>
      </c>
    </row>
    <row r="41" ht="18" customHeight="1">
      <c r="A41" s="55" t="inlineStr">
        <is>
          <t>· 사업명에 대상('옹벽')·비대상('학교') 어휘 혼재: 1건</t>
        </is>
      </c>
    </row>
    <row r="42" ht="18" customHeight="1">
      <c r="A42" s="55" t="inlineStr">
        <is>
          <t>· 급경사지 용역: 1건</t>
        </is>
      </c>
    </row>
    <row r="43" ht="18" customHeight="1">
      <c r="A43" s="55" t="inlineStr">
        <is>
          <t>· 노선 미기재: 1건</t>
        </is>
      </c>
    </row>
    <row r="44" ht="18" customHeight="1">
      <c r="A44" s="55" t="inlineStr">
        <is>
          <t>· 사업명에 정기점검 포함: 1건</t>
        </is>
      </c>
    </row>
    <row r="45" ht="18" customHeight="1">
      <c r="A45" s="55" t="inlineStr">
        <is>
          <t>· 2종 증빙: 세부 1-나 ※: 2종 절토사면·옹벽 정밀안전점검은 독립 상태평가 + 관리주체·발주청 발급(확인) 서류 또는 FMS 등재 자료로 2종임이 확인되는 경우만 인정 — 이 경력증명서만으로는 확인 불가</t>
        </is>
      </c>
    </row>
    <row r="46" ht="18" customHeight="1">
      <c r="A46" s="54" t="inlineStr">
        <is>
          <t>[판독 검증] 경력증명서 '공사종류별 인정일수 현황'과 판독 합계 대조 (0 ≤ 증명서−판독 ≤ 행 수이면 정상: 중복기간 소수점 절삭)</t>
        </is>
      </c>
    </row>
    <row r="47" ht="18" customHeight="1">
      <c r="A47" s="55" t="inlineStr">
        <is>
          <t>· 교량: 판독 285 / 증명서 285일 (행 1) — 정상</t>
        </is>
      </c>
    </row>
    <row r="48" ht="18" customHeight="1">
      <c r="A48" s="55" t="inlineStr">
        <is>
          <t>· 국도: 판독 264 / 증명서 264일 (행 1) — 정상</t>
        </is>
      </c>
    </row>
    <row r="49" ht="18" customHeight="1">
      <c r="A49" s="55" t="inlineStr">
        <is>
          <t>· 도로사면: 판독 449 / 증명서 449일 (행 2) — 정상</t>
        </is>
      </c>
    </row>
    <row r="50" ht="18" customHeight="1">
      <c r="A50" s="55" t="inlineStr">
        <is>
          <t>· 사면: 판독 304 / 증명서 304일 (행 1) — 정상</t>
        </is>
      </c>
    </row>
    <row r="51" ht="18" customHeight="1">
      <c r="A51" s="55" t="inlineStr">
        <is>
          <t>· 옹벽: 판독 1,027 / 증명서 1,027일 (행 4) — 정상</t>
        </is>
      </c>
    </row>
    <row r="52" ht="18" customHeight="1">
      <c r="A52" s="55" t="inlineStr">
        <is>
          <t>· 절토사면: 판독 1,494 / 증명서 1,494일 (행 6) — 정상</t>
        </is>
      </c>
    </row>
    <row r="53" ht="18" customHeight="1">
      <c r="A53" s="55" t="inlineStr">
        <is>
          <t>· 제방: 판독 320 / 증명서 320일 (행 1) — 정상</t>
        </is>
      </c>
    </row>
    <row r="54" ht="18" customHeight="1">
      <c r="A54" s="55" t="inlineStr">
        <is>
          <t>· 터널: 판독 208 / 증명서 208일 (행 1) — 정상</t>
        </is>
      </c>
    </row>
    <row r="55" ht="18" customHeight="1">
      <c r="A55" s="55" t="inlineStr">
        <is>
          <t>· 판독 모델: 체험판 — 판독 결과를 미리 넣은 가상 자료 / 생성: 2026-10-01 09:00:00</t>
        </is>
      </c>
    </row>
  </sheetData>
  <mergeCells count="71">
    <mergeCell ref="C3:J3"/>
    <mergeCell ref="A7:O7"/>
    <mergeCell ref="A54:O54"/>
    <mergeCell ref="G8:G9"/>
    <mergeCell ref="I2:J2"/>
    <mergeCell ref="A41:O41"/>
    <mergeCell ref="G29:M29"/>
    <mergeCell ref="Q8:Q9"/>
    <mergeCell ref="E5:F5"/>
    <mergeCell ref="B8:B9"/>
    <mergeCell ref="S8:S9"/>
    <mergeCell ref="A37:O37"/>
    <mergeCell ref="A46:O46"/>
    <mergeCell ref="A50:O50"/>
    <mergeCell ref="A55:O55"/>
    <mergeCell ref="E4:F4"/>
    <mergeCell ref="A4:A6"/>
    <mergeCell ref="R7:S7"/>
    <mergeCell ref="L8:L9"/>
    <mergeCell ref="Q4:T5"/>
    <mergeCell ref="Q29:R29"/>
    <mergeCell ref="N8:N9"/>
    <mergeCell ref="R6:S6"/>
    <mergeCell ref="A33:O33"/>
    <mergeCell ref="A42:O42"/>
    <mergeCell ref="A47:O47"/>
    <mergeCell ref="L2:O2"/>
    <mergeCell ref="A32:O32"/>
    <mergeCell ref="A2:A3"/>
    <mergeCell ref="T8:T9"/>
    <mergeCell ref="T2:T3"/>
    <mergeCell ref="D8:F8"/>
    <mergeCell ref="I5:I6"/>
    <mergeCell ref="G27:M27"/>
    <mergeCell ref="A53:O53"/>
    <mergeCell ref="A35:O35"/>
    <mergeCell ref="F2:G2"/>
    <mergeCell ref="B27:E27"/>
    <mergeCell ref="E6:F6"/>
    <mergeCell ref="A8:A9"/>
    <mergeCell ref="A38:O38"/>
    <mergeCell ref="C2:D2"/>
    <mergeCell ref="C8:C9"/>
    <mergeCell ref="I8:I9"/>
    <mergeCell ref="A43:O43"/>
    <mergeCell ref="K8:K9"/>
    <mergeCell ref="L3:O3"/>
    <mergeCell ref="M8:M9"/>
    <mergeCell ref="A52:O52"/>
    <mergeCell ref="A44:O44"/>
    <mergeCell ref="O8:O9"/>
    <mergeCell ref="A31:O31"/>
    <mergeCell ref="T6:T7"/>
    <mergeCell ref="K5:O6"/>
    <mergeCell ref="A34:O34"/>
    <mergeCell ref="A40:O40"/>
    <mergeCell ref="G28:M28"/>
    <mergeCell ref="A48:O48"/>
    <mergeCell ref="A39:O39"/>
    <mergeCell ref="H5:H6"/>
    <mergeCell ref="J5:J6"/>
    <mergeCell ref="H8:H9"/>
    <mergeCell ref="A51:O51"/>
    <mergeCell ref="J8:J9"/>
    <mergeCell ref="A36:O36"/>
    <mergeCell ref="A49:O49"/>
    <mergeCell ref="R8:R9"/>
    <mergeCell ref="B29:E29"/>
    <mergeCell ref="A45:O45"/>
    <mergeCell ref="B28:E28"/>
    <mergeCell ref="K4:O4"/>
  </mergeCells>
  <dataValidations count="2">
    <dataValidation sqref="Q10:Q26" showDropDown="0" showInputMessage="1" showErrorMessage="0" allowBlank="1" prompt="유사 / 관련 / 불인정" type="list">
      <formula1>"유사,관련,불인정"</formula1>
    </dataValidation>
    <dataValidation sqref="R10:R26" showDropDown="0" showInputMessage="1" showErrorMessage="0" allowBlank="1" prompt="100%, 60%, 50%, 30% 등 (0~1)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2026-10-13T09:07:22Z</dcterms:created>
  <dcterms:modified xsi:type="dcterms:W3CDTF">2026-10-13T09:07:22Z</dcterms:modified>
</cp:coreProperties>
</file>